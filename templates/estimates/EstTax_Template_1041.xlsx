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P&amp;L INPUT" sheetId="2" state="visible" r:id="rId4"/>
    <sheet name="BS (IF NEEDED)" sheetId="3" state="visible" r:id="rId5"/>
    <sheet name="BOOK-TO-TAX" sheetId="4" state="visible" r:id="rId6"/>
    <sheet name="TAX CALC" sheetId="5" state="visible" r:id="rId7"/>
    <sheet name="PAYMENTS" sheetId="6" state="visible" r:id="rId8"/>
    <sheet name="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<sst xmlns="http://schemas.openxmlformats.org/spreadsheetml/2006/main" count="224" uniqueCount="212">
  <si>
    <t xml:space="preserve">ESTIMATED TAX WORKPAPER — ESTATE / TRUST (Form 1041)</t>
  </si>
  <si>
    <t xml:space="preserve">RAG Tax AI — CPA Firm Estimated Tax Template</t>
  </si>
  <si>
    <t xml:space="preserve">Client Name:</t>
  </si>
  <si>
    <t xml:space="preserve">Tax Year:</t>
  </si>
  <si>
    <t xml:space="preserve">Quarter / Period:</t>
  </si>
  <si>
    <t xml:space="preserve">  Q1  /  Q2  /  Q3  /  Q4  /  Annual</t>
  </si>
  <si>
    <t xml:space="preserve">Data Through:</t>
  </si>
  <si>
    <t xml:space="preserve">Return Type:</t>
  </si>
  <si>
    <t xml:space="preserve">Form 1041</t>
  </si>
  <si>
    <t xml:space="preserve">State(s):</t>
  </si>
  <si>
    <t xml:space="preserve">Preparer:</t>
  </si>
  <si>
    <t xml:space="preserve">Date Prepared:</t>
  </si>
  <si>
    <t xml:space="preserve">LEGEND</t>
  </si>
  <si>
    <t xml:space="preserve">Blue cells</t>
  </si>
  <si>
    <t xml:space="preserve">INPUT — enter data here</t>
  </si>
  <si>
    <t xml:space="preserve">Yellow background</t>
  </si>
  <si>
    <t xml:space="preserve">Green background</t>
  </si>
  <si>
    <t xml:space="preserve">RESULT — do not edit</t>
  </si>
  <si>
    <t xml:space="preserve">Light gray</t>
  </si>
  <si>
    <t xml:space="preserve">FORMULA / calculated</t>
  </si>
  <si>
    <t xml:space="preserve">Red background</t>
  </si>
  <si>
    <t xml:space="preserve">BALANCE DUE — payment required</t>
  </si>
  <si>
    <t xml:space="preserve">SHEET GUIDE</t>
  </si>
  <si>
    <t xml:space="preserve">COVER</t>
  </si>
  <si>
    <t xml:space="preserve">This sheet — client info and instructions</t>
  </si>
  <si>
    <t xml:space="preserve">P&amp;L INPUT</t>
  </si>
  <si>
    <t xml:space="preserve">Enter YTD financial data — auto-annualizes</t>
  </si>
  <si>
    <t xml:space="preserve">BOOK-TO-TAX</t>
  </si>
  <si>
    <t xml:space="preserve">Book-to-tax reconciliation — meals, depreciation, etc.</t>
  </si>
  <si>
    <t xml:space="preserve">TAX CALC</t>
  </si>
  <si>
    <t xml:space="preserve">Federal and state tax computation</t>
  </si>
  <si>
    <t xml:space="preserve">PAYMENTS</t>
  </si>
  <si>
    <t xml:space="preserve">Prior payments, safe harbor, balance due</t>
  </si>
  <si>
    <t xml:space="preserve">SUMMARY</t>
  </si>
  <si>
    <t xml:space="preserve">Final output — amounts to pay and due dates</t>
  </si>
  <si>
    <t xml:space="preserve">PROFIT &amp; LOSS — YTD INPUT &amp; ANNUALIZATION</t>
  </si>
  <si>
    <t xml:space="preserve">Enter YTD amounts in column B (blue). Column C auto-annualizes. Enter actual months in B3 — this drives the annualization factor.</t>
  </si>
  <si>
    <t xml:space="preserve">ANNUALIZATION SETUP</t>
  </si>
  <si>
    <t xml:space="preserve">YTD Months</t>
  </si>
  <si>
    <t xml:space="preserve">Factor</t>
  </si>
  <si>
    <t xml:space="preserve">Months covered by P&amp;L (enter number)</t>
  </si>
  <si>
    <t xml:space="preserve">← CHANGE THIS</t>
  </si>
  <si>
    <t xml:space="preserve">Annualization Factor (12 ÷ months)</t>
  </si>
  <si>
    <t xml:space="preserve">ACCOUNT</t>
  </si>
  <si>
    <t xml:space="preserve">YTD Amount</t>
  </si>
  <si>
    <t xml:space="preserve">Annualized</t>
  </si>
  <si>
    <t xml:space="preserve">Source / Notes</t>
  </si>
  <si>
    <t xml:space="preserve">INCOME</t>
  </si>
  <si>
    <t xml:space="preserve">Gross Revenue / Sales</t>
  </si>
  <si>
    <t xml:space="preserve">Other Operating Income</t>
  </si>
  <si>
    <t xml:space="preserve">Interest Income</t>
  </si>
  <si>
    <t xml:space="preserve">Other Income</t>
  </si>
  <si>
    <t xml:space="preserve">TOTAL INCOME</t>
  </si>
  <si>
    <t xml:space="preserve">OPERATING EXPENSES</t>
  </si>
  <si>
    <t xml:space="preserve">Officer / Owner Compensation</t>
  </si>
  <si>
    <t xml:space="preserve">Salaries &amp; Wages (non-officer)</t>
  </si>
  <si>
    <t xml:space="preserve">Payroll Taxes</t>
  </si>
  <si>
    <t xml:space="preserve">Rent / Lease</t>
  </si>
  <si>
    <t xml:space="preserve">Utilities</t>
  </si>
  <si>
    <t xml:space="preserve">Telephone &amp; Internet</t>
  </si>
  <si>
    <t xml:space="preserve">Office Supplies</t>
  </si>
  <si>
    <t xml:space="preserve">Meals &amp; Entertainment</t>
  </si>
  <si>
    <t xml:space="preserve">Travel</t>
  </si>
  <si>
    <t xml:space="preserve">Advertising &amp; Marketing</t>
  </si>
  <si>
    <t xml:space="preserve">Professional Fees</t>
  </si>
  <si>
    <t xml:space="preserve">Insurance</t>
  </si>
  <si>
    <t xml:space="preserve">Repairs &amp; Maintenance</t>
  </si>
  <si>
    <t xml:space="preserve">Depreciation (book)</t>
  </si>
  <si>
    <t xml:space="preserve">Amortization</t>
  </si>
  <si>
    <t xml:space="preserve">Interest Expense</t>
  </si>
  <si>
    <t xml:space="preserve">Bank Charges</t>
  </si>
  <si>
    <t xml:space="preserve">Other Deductions 1</t>
  </si>
  <si>
    <t xml:space="preserve">Other Deductions 2</t>
  </si>
  <si>
    <t xml:space="preserve">Other Deductions 3</t>
  </si>
  <si>
    <t xml:space="preserve">TOTAL EXPENSES</t>
  </si>
  <si>
    <t xml:space="preserve">NET INCOME PER BOOKS (Annualized)</t>
  </si>
  <si>
    <t xml:space="preserve">NET INCOME cell C37 feeds into BOOK-TO-TAX sheet automatically. Named range: net_income_ann</t>
  </si>
  <si>
    <t xml:space="preserve">BALANCE SHEET INPUT — USE ONLY IF NEEDED</t>
  </si>
  <si>
    <t xml:space="preserve">This sheet is OPTIONAL. Use it only when: (1) there are new fixed asset additions requiring depreciation analysis, or (2) large loans were taken that affect interest expense, or (3) equity changed unexpectedly.</t>
  </si>
  <si>
    <t xml:space="preserve">ITEM</t>
  </si>
  <si>
    <t xml:space="preserve">Prior Year End</t>
  </si>
  <si>
    <t xml:space="preserve">Current Period</t>
  </si>
  <si>
    <t xml:space="preserve">Change</t>
  </si>
  <si>
    <t xml:space="preserve">Action Required</t>
  </si>
  <si>
    <t xml:space="preserve">FIXED ASSETS — IDENTIFY NEW ADDITIONS</t>
  </si>
  <si>
    <t xml:space="preserve">Gross Fixed Assets (total cost)</t>
  </si>
  <si>
    <t xml:space="preserve">Increase = new additions</t>
  </si>
  <si>
    <t xml:space="preserve">Less: Accumulated Depreciation</t>
  </si>
  <si>
    <t xml:space="preserve">Net Fixed Assets</t>
  </si>
  <si>
    <t xml:space="preserve">New Fixed Asset Additions (current period)</t>
  </si>
  <si>
    <t xml:space="preserve">change in gross fixed assets</t>
  </si>
  <si>
    <t xml:space="preserve">Asset type (describe)</t>
  </si>
  <si>
    <t xml:space="preserve">e.g. equipment, vehicle, leasehold</t>
  </si>
  <si>
    <t xml:space="preserve">Date placed in service</t>
  </si>
  <si>
    <t xml:space="preserve">For bonus / §179 eligibility</t>
  </si>
  <si>
    <t xml:space="preserve">§179 Election Amount</t>
  </si>
  <si>
    <t xml:space="preserve">Up to $1,250,000 for 2025</t>
  </si>
  <si>
    <t xml:space="preserve">Bonus Depreciation (40% of remaining basis for 2025)</t>
  </si>
  <si>
    <t xml:space="preserve">IRC §168(k)</t>
  </si>
  <si>
    <t xml:space="preserve">MACRS Depreciation on remainder</t>
  </si>
  <si>
    <t xml:space="preserve">LOANS &amp; DEBT — CHECK FOR INTEREST EXPENSE CHANGES</t>
  </si>
  <si>
    <t xml:space="preserve">Total Debt / Loans Payable</t>
  </si>
  <si>
    <t xml:space="preserve">New Loans This Period</t>
  </si>
  <si>
    <t xml:space="preserve">Loan Repayments</t>
  </si>
  <si>
    <t xml:space="preserve">BOOK-TO-TAX RECONCILIATION</t>
  </si>
  <si>
    <t xml:space="preserve">This sheet adjusts book net income to taxable income. Enter adjustments in column B. Column C shows the running total.</t>
  </si>
  <si>
    <t xml:space="preserve">LINE ITEM</t>
  </si>
  <si>
    <t xml:space="preserve">Amount</t>
  </si>
  <si>
    <t xml:space="preserve">Running Taxable Income</t>
  </si>
  <si>
    <t xml:space="preserve">Authority / Explanation</t>
  </si>
  <si>
    <t xml:space="preserve">Net Income per Books (from P&amp;L INPUT)</t>
  </si>
  <si>
    <t xml:space="preserve">ADD BACKS (Non-deductible items — increase taxable income)</t>
  </si>
  <si>
    <t xml:space="preserve">Meals &amp; Entertainment — 50% disallowance</t>
  </si>
  <si>
    <t xml:space="preserve">Entertainment (100% disallowed post-TCJA)</t>
  </si>
  <si>
    <t xml:space="preserve">Political Contributions</t>
  </si>
  <si>
    <t xml:space="preserve">Fines &amp; Penalties</t>
  </si>
  <si>
    <t xml:space="preserve">Life Insurance Premiums (officer, company beneficiary)</t>
  </si>
  <si>
    <t xml:space="preserve">Federal Income Tax (1120 only)</t>
  </si>
  <si>
    <t xml:space="preserve">Non-deductible Other (describe in notes)</t>
  </si>
  <si>
    <t xml:space="preserve">DEDUCTIONS (Tax-only items — reduce taxable income)</t>
  </si>
  <si>
    <t xml:space="preserve">Depreciation — timing difference (book vs tax)</t>
  </si>
  <si>
    <t xml:space="preserve">Section 179 Expensing (current year elections)</t>
  </si>
  <si>
    <t xml:space="preserve">Bonus Depreciation (40% for 2025 QP)</t>
  </si>
  <si>
    <t xml:space="preserve">Depletion (if applicable)</t>
  </si>
  <si>
    <t xml:space="preserve">Tax-deductible Other (describe in notes)</t>
  </si>
  <si>
    <t xml:space="preserve">CARRYFORWARDS</t>
  </si>
  <si>
    <t xml:space="preserve">Net Operating Loss (NOL) Carryforward</t>
  </si>
  <si>
    <t xml:space="preserve">Capital Loss Carryforward</t>
  </si>
  <si>
    <t xml:space="preserve">Charitable Contribution Carryforward</t>
  </si>
  <si>
    <t xml:space="preserve">§163(j) BUSINESS INTEREST LIMITATION (if applicable)</t>
  </si>
  <si>
    <t xml:space="preserve">Only applies if business interest expense &gt; floor amount. Enter disallowed amount as POSITIVE (adds back to taxable income).</t>
  </si>
  <si>
    <t xml:space="preserve">§163(j) Disallowed Interest Add-back</t>
  </si>
  <si>
    <t xml:space="preserve">ESTIMATED ANNUALIZED TAXABLE INCOME</t>
  </si>
  <si>
    <t xml:space="preserve">This amount in C32 feeds into TAX CALC sheet.</t>
  </si>
  <si>
    <t xml:space="preserve">FEDERAL &amp; STATE TAX COMPUTATION — TAX YEAR 2025</t>
  </si>
  <si>
    <t xml:space="preserve">Taxable income flows from BOOK-TO-TAX sheet. Select filing status (1040) and verify rates for the tax year.</t>
  </si>
  <si>
    <t xml:space="preserve">INCOME BASE</t>
  </si>
  <si>
    <t xml:space="preserve">Notes</t>
  </si>
  <si>
    <t xml:space="preserve">Annualized Taxable Income (from BOOK-TO-TAX)</t>
  </si>
  <si>
    <t xml:space="preserve">PASS-THROUGH ENTITY — TAX AT OWNER LEVEL</t>
  </si>
  <si>
    <t xml:space="preserve">For partnerships and S-corps, federal income tax is paid by owners, not the entity. Complete the 1040 template for each owner. This sheet calculates entity-level items only.</t>
  </si>
  <si>
    <t xml:space="preserve">Ordinary Business Income (pass-through)</t>
  </si>
  <si>
    <t xml:space="preserve">Owner 1 — Ownership %</t>
  </si>
  <si>
    <t xml:space="preserve">Enter as decimal e.g. 0.50 for 50%</t>
  </si>
  <si>
    <t xml:space="preserve">Owner 1 — Pass-through income</t>
  </si>
  <si>
    <t xml:space="preserve">Owner 2 — Ownership %</t>
  </si>
  <si>
    <t xml:space="preserve">Enter as decimal; leave blank if single owner</t>
  </si>
  <si>
    <t xml:space="preserve">Owner 2 — Pass-through income</t>
  </si>
  <si>
    <t xml:space="preserve">Use separate 1040 Estimated Tax Template for each owner to compute their personal federal tax.</t>
  </si>
  <si>
    <t xml:space="preserve">Entity Federal Tax Due (enter from owner templates)</t>
  </si>
  <si>
    <t xml:space="preserve">STATE TAX COMPUTATION</t>
  </si>
  <si>
    <t xml:space="preserve">Enter state tax rate and any state modifications below. Many states do NOT conform to federal bonus depreciation — verify.</t>
  </si>
  <si>
    <t xml:space="preserve">State</t>
  </si>
  <si>
    <t xml:space="preserve">NY</t>
  </si>
  <si>
    <t xml:space="preserve">State Tax Rate</t>
  </si>
  <si>
    <t xml:space="preserve">State Modifications (add-backs — e.g. bonus depr add-back)</t>
  </si>
  <si>
    <t xml:space="preserve">Enter positive to add back; enter federal bonus depr as positive if state doesn't conform</t>
  </si>
  <si>
    <t xml:space="preserve">State Modifications (deductions — e.g. state NOL)</t>
  </si>
  <si>
    <t xml:space="preserve">Enter as NEGATIVE</t>
  </si>
  <si>
    <t xml:space="preserve">State Taxable Income</t>
  </si>
  <si>
    <t xml:space="preserve">State Tax (before credits)</t>
  </si>
  <si>
    <t xml:space="preserve">State Credits (enter as NEGATIVE)</t>
  </si>
  <si>
    <t xml:space="preserve">PTE Tax (Pass-Through Entity Tax — enter if electing)</t>
  </si>
  <si>
    <t xml:space="preserve">State-level PTE election; deductible for federal purposes (SALT workaround)</t>
  </si>
  <si>
    <t xml:space="preserve">NET STATE TAX (Annual)</t>
  </si>
  <si>
    <t xml:space="preserve">Fed tax (C16) and State tax row feed into PAYMENTS sheet.</t>
  </si>
  <si>
    <t xml:space="preserve">ESTIMATED TAX — PAYMENTS &amp; SAFE HARBOR ANALYSIS</t>
  </si>
  <si>
    <t xml:space="preserve">Enter prior payments in BLUE cells. Safe harbor and balance due are calculated automatically.</t>
  </si>
  <si>
    <t xml:space="preserve">PRIOR YEAR DATA (for safe harbor Option 2)</t>
  </si>
  <si>
    <t xml:space="preserve">Federal</t>
  </si>
  <si>
    <t xml:space="preserve">Source</t>
  </si>
  <si>
    <t xml:space="preserve">Prior Year Total Tax (from prior year return)</t>
  </si>
  <si>
    <t xml:space="preserve">From 1040 Line 24 / 1120 Line 31 / 1120-S Sch K</t>
  </si>
  <si>
    <t xml:space="preserve">Prior year AGI (individuals — for 110% rule)</t>
  </si>
  <si>
    <t xml:space="preserve">If AGI &gt; $150,000, use 110% of prior year tax for Option 2 (IRC §6654(d)(1)(B))</t>
  </si>
  <si>
    <t xml:space="preserve">SAFE HARBOR ANALYSIS</t>
  </si>
  <si>
    <t xml:space="preserve">Estimated Current Year Tax</t>
  </si>
  <si>
    <t xml:space="preserve">Option 1 — 90% of current year tax (IRC §6654)</t>
  </si>
  <si>
    <t xml:space="preserve">Option 2 — 100%/110% of prior year tax</t>
  </si>
  <si>
    <t xml:space="preserve">RECOMMENDED SAFE HARBOR (lesser of Option 1 &amp; 2)</t>
  </si>
  <si>
    <t xml:space="preserve">PAYMENTS ALREADY MADE</t>
  </si>
  <si>
    <t xml:space="preserve">Q1 Estimated Tax Paid</t>
  </si>
  <si>
    <t xml:space="preserve">Q2 Estimated Tax Paid</t>
  </si>
  <si>
    <t xml:space="preserve">Q3 Estimated Tax Paid</t>
  </si>
  <si>
    <t xml:space="preserve">Extension Payment Made</t>
  </si>
  <si>
    <t xml:space="preserve">Overpayment from Prior Year Applied</t>
  </si>
  <si>
    <t xml:space="preserve">PTE Tax Credit (from state PTE election)</t>
  </si>
  <si>
    <t xml:space="preserve">State PTE creates federal deduction</t>
  </si>
  <si>
    <t xml:space="preserve">W-2 / Withholding (if applicable)</t>
  </si>
  <si>
    <t xml:space="preserve">1040: enter total W-2 federal withholding here</t>
  </si>
  <si>
    <t xml:space="preserve">TOTAL PAYMENTS TO DATE</t>
  </si>
  <si>
    <t xml:space="preserve">QUARTERLY BALANCE DUE</t>
  </si>
  <si>
    <t xml:space="preserve">Due Dates</t>
  </si>
  <si>
    <t xml:space="preserve">Q1 — 25% required (April 15)</t>
  </si>
  <si>
    <t xml:space="preserve">2025-04-15</t>
  </si>
  <si>
    <t xml:space="preserve">Q2 — 50% required (June 15)</t>
  </si>
  <si>
    <t xml:space="preserve">2025-06-15</t>
  </si>
  <si>
    <t xml:space="preserve">Q3 — 75% required (Sept 15)</t>
  </si>
  <si>
    <t xml:space="preserve">2025-09-15</t>
  </si>
  <si>
    <t xml:space="preserve">Q4 — 100% required (Jan 15)</t>
  </si>
  <si>
    <t xml:space="preserve">2026-01-15</t>
  </si>
  <si>
    <t xml:space="preserve">ESTIMATED TAX SUMMARY — AMOUNTS DUE</t>
  </si>
  <si>
    <t xml:space="preserve">This summary is READ-ONLY. All amounts pull from other sheets.</t>
  </si>
  <si>
    <t xml:space="preserve">Total</t>
  </si>
  <si>
    <t xml:space="preserve">Due Date</t>
  </si>
  <si>
    <t xml:space="preserve">Pay At</t>
  </si>
  <si>
    <t xml:space="preserve">NOTE: Summary amounts reference PAYMENTS sheet rows 27-30. Verify row references match your actual PAYMENTS sheet after all data is entered.</t>
  </si>
  <si>
    <t xml:space="preserve">Annual Estimated Federal Tax</t>
  </si>
  <si>
    <t xml:space="preserve">Pull from TAX CALC sheet</t>
  </si>
  <si>
    <t xml:space="preserve">Safe Harbor Used</t>
  </si>
  <si>
    <t xml:space="preserve">PAYMENT INSTRUCTIONS — Federal: Pay at https://directpay.irs.gov | Select: Estimated Tax | Form 1040-ES or 1120-W | Tax Year</t>
  </si>
  <si>
    <t xml:space="preserve">State payments: Go to your state revenue department portal. CA: ftb.ca.gov | NY: tax.ny.gov | TX: No income tax | FL: floridarevenue.com (corps only) | Check state portal for your state.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</si>
</sst>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\x"/>
    <numFmt numFmtId="167" formatCode="_(\$* #,##0.00_);_(\$* \(#,##0.00\);_(\$* \-??_);_(@_)"/>
    <numFmt numFmtId="168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0"/>
      <color rgb="FF0F1E3D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F1E3D"/>
      <name val="Arial"/>
      <family val="0"/>
      <charset val="1"/>
    </font>
    <font>
      <b val="true"/>
      <sz val="9"/>
      <color rgb="FF0F1E3D"/>
      <name val="Arial"/>
      <family val="0"/>
      <charset val="1"/>
    </font>
    <font>
      <i val="true"/>
      <sz val="8"/>
      <color rgb="FF64748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DC262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5803D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EF9C3"/>
        <bgColor rgb="FFFFFF99"/>
      </patternFill>
    </fill>
    <fill>
      <patternFill patternType="solid">
        <fgColor rgb="FF2563EB"/>
        <bgColor rgb="FF0369A1"/>
      </patternFill>
    </fill>
    <fill>
      <patternFill patternType="solid">
        <fgColor rgb="FFFFFFFF"/>
        <bgColor rgb="FFF0FDF4"/>
      </patternFill>
    </fill>
    <fill>
      <patternFill patternType="solid">
        <fgColor rgb="FFF0FDF4"/>
        <bgColor rgb="FFF1F5F9"/>
      </patternFill>
    </fill>
    <fill>
      <patternFill patternType="solid">
        <fgColor rgb="FF0369A1"/>
        <bgColor rgb="FF008080"/>
      </patternFill>
    </fill>
    <fill>
      <patternFill patternType="solid">
        <fgColor rgb="FFF1F5F9"/>
        <bgColor rgb="FFF0FDF4"/>
      </patternFill>
    </fill>
    <fill>
      <patternFill patternType="solid">
        <fgColor rgb="FF64748B"/>
        <bgColor rgb="FF808080"/>
      </patternFill>
    </fill>
    <fill>
      <patternFill patternType="solid">
        <fgColor rgb="FFB45309"/>
        <bgColor rgb="FFDC2626"/>
      </patternFill>
    </fill>
    <fill>
      <patternFill patternType="solid">
        <fgColor rgb="FF15803D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3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3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F0FDF4"/>
      <rgbColor rgb="FF660066"/>
      <rgbColor rgb="FFFF8080"/>
      <rgbColor rgb="FF0369A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4748B"/>
      <rgbColor rgb="FF969696"/>
      <rgbColor rgb="FF1B3A6B"/>
      <rgbColor rgb="FF339966"/>
      <rgbColor rgb="FF003300"/>
      <rgbColor rgb="FF333300"/>
      <rgbColor rgb="FFB45309"/>
      <rgbColor rgb="FF993366"/>
      <rgbColor rgb="FF333399"/>
      <rgbColor rgb="FF0F1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5"/>
    <col collapsed="false" customWidth="true" hidden="false" outlineLevel="0" max="7" min="3" style="1" width="2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3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5.75" hidden="false" customHeight="true" outlineLevel="0" collapsed="false">
      <c r="A4" s="4" t="s">
        <v>2</v>
      </c>
      <c r="B4" s="5"/>
    </row>
    <row r="5" customFormat="false" ht="15.75" hidden="false" customHeight="true" outlineLevel="0" collapsed="false">
      <c r="A5" s="4" t="s">
        <v>3</v>
      </c>
      <c r="B5" s="5"/>
    </row>
    <row r="6" customFormat="false" ht="15.75" hidden="false" customHeight="true" outlineLevel="0" collapsed="false">
      <c r="A6" s="4" t="s">
        <v>4</v>
      </c>
      <c r="B6" s="5" t="s">
        <v>5</v>
      </c>
    </row>
    <row r="7" customFormat="false" ht="15.75" hidden="false" customHeight="true" outlineLevel="0" collapsed="false">
      <c r="A7" s="4" t="s">
        <v>6</v>
      </c>
      <c r="B7" s="5"/>
    </row>
    <row r="8" customFormat="false" ht="15.75" hidden="false" customHeight="true" outlineLevel="0" collapsed="false">
      <c r="A8" s="4" t="s">
        <v>7</v>
      </c>
      <c r="B8" s="5" t="s">
        <v>8</v>
      </c>
    </row>
    <row r="9" customFormat="false" ht="15.75" hidden="false" customHeight="true" outlineLevel="0" collapsed="false">
      <c r="A9" s="4" t="s">
        <v>9</v>
      </c>
      <c r="B9" s="5"/>
    </row>
    <row r="10" customFormat="false" ht="15.75" hidden="false" customHeight="true" outlineLevel="0" collapsed="false">
      <c r="A10" s="4" t="s">
        <v>10</v>
      </c>
      <c r="B10" s="5"/>
    </row>
    <row r="11" customFormat="false" ht="15.75" hidden="false" customHeight="true" outlineLevel="0" collapsed="false">
      <c r="A11" s="4" t="s">
        <v>11</v>
      </c>
      <c r="B11" s="5"/>
    </row>
    <row r="13" customFormat="false" ht="15.75" hidden="false" customHeight="true" outlineLevel="0" collapsed="false">
      <c r="A13" s="6" t="s">
        <v>12</v>
      </c>
      <c r="B13" s="6"/>
      <c r="C13" s="6"/>
      <c r="D13" s="6"/>
      <c r="E13" s="6"/>
      <c r="F13" s="6"/>
      <c r="G13" s="6"/>
    </row>
    <row r="14" customFormat="false" ht="15" hidden="false" customHeight="true" outlineLevel="0" collapsed="false">
      <c r="A14" s="7" t="s">
        <v>13</v>
      </c>
      <c r="B14" s="7" t="s">
        <v>14</v>
      </c>
    </row>
    <row r="15" customFormat="false" ht="15" hidden="false" customHeight="true" outlineLevel="0" collapsed="false">
      <c r="A15" s="7" t="s">
        <v>15</v>
      </c>
      <c r="B15" s="7" t="s">
        <v>14</v>
      </c>
    </row>
    <row r="16" customFormat="false" ht="15" hidden="false" customHeight="true" outlineLevel="0" collapsed="false">
      <c r="A16" s="7" t="s">
        <v>16</v>
      </c>
      <c r="B16" s="7" t="s">
        <v>17</v>
      </c>
    </row>
    <row r="17" customFormat="false" ht="15" hidden="false" customHeight="true" outlineLevel="0" collapsed="false">
      <c r="A17" s="7" t="s">
        <v>18</v>
      </c>
      <c r="B17" s="7" t="s">
        <v>19</v>
      </c>
    </row>
    <row r="18" customFormat="false" ht="15" hidden="false" customHeight="true" outlineLevel="0" collapsed="false">
      <c r="A18" s="7" t="s">
        <v>20</v>
      </c>
      <c r="B18" s="7" t="s">
        <v>21</v>
      </c>
    </row>
    <row r="20" customFormat="false" ht="15.75" hidden="false" customHeight="true" outlineLevel="0" collapsed="false">
      <c r="A20" s="6" t="s">
        <v>22</v>
      </c>
      <c r="B20" s="6"/>
      <c r="C20" s="6"/>
      <c r="D20" s="6"/>
      <c r="E20" s="6"/>
      <c r="F20" s="6"/>
      <c r="G20" s="6"/>
    </row>
    <row r="21" customFormat="false" ht="15" hidden="false" customHeight="true" outlineLevel="0" collapsed="false">
      <c r="A21" s="8" t="s">
        <v>23</v>
      </c>
      <c r="B21" s="7" t="s">
        <v>24</v>
      </c>
    </row>
    <row r="22" customFormat="false" ht="15" hidden="false" customHeight="true" outlineLevel="0" collapsed="false">
      <c r="A22" s="8" t="s">
        <v>25</v>
      </c>
      <c r="B22" s="7" t="s">
        <v>26</v>
      </c>
    </row>
    <row r="23" customFormat="false" ht="15" hidden="false" customHeight="true" outlineLevel="0" collapsed="false">
      <c r="A23" s="8" t="s">
        <v>27</v>
      </c>
      <c r="B23" s="7" t="s">
        <v>28</v>
      </c>
    </row>
    <row r="24" customFormat="false" ht="15" hidden="false" customHeight="true" outlineLevel="0" collapsed="false">
      <c r="A24" s="8" t="s">
        <v>29</v>
      </c>
      <c r="B24" s="7" t="s">
        <v>30</v>
      </c>
    </row>
    <row r="25" customFormat="false" ht="15" hidden="false" customHeight="true" outlineLevel="0" collapsed="false">
      <c r="A25" s="8" t="s">
        <v>31</v>
      </c>
      <c r="B25" s="7" t="s">
        <v>32</v>
      </c>
    </row>
    <row r="26" customFormat="false" ht="15" hidden="false" customHeight="true" outlineLevel="0" collapsed="false">
      <c r="A26" s="8" t="s">
        <v>33</v>
      </c>
      <c r="B26" s="7" t="s">
        <v>34</v>
      </c>
    </row>
  </sheetData>
  <mergeCells count="4">
    <mergeCell ref="A1:G1"/>
    <mergeCell ref="A2:G2"/>
    <mergeCell ref="A13:G13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16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15.75" hidden="false" customHeight="true" outlineLevel="0" collapsed="false">
      <c r="A1" s="9" t="s">
        <v>35</v>
      </c>
      <c r="B1" s="9"/>
      <c r="C1" s="9"/>
      <c r="D1" s="9"/>
      <c r="E1" s="9"/>
      <c r="F1" s="9"/>
      <c r="G1" s="9"/>
    </row>
    <row r="2" customFormat="false" ht="24" hidden="false" customHeight="true" outlineLevel="0" collapsed="false">
      <c r="A2" s="10" t="s">
        <v>36</v>
      </c>
      <c r="B2" s="10"/>
      <c r="C2" s="10"/>
      <c r="D2" s="10"/>
      <c r="E2" s="10"/>
      <c r="F2" s="10"/>
      <c r="G2" s="10"/>
    </row>
    <row r="3" customFormat="false" ht="15" hidden="false" customHeight="true" outlineLevel="0" collapsed="false">
      <c r="A3" s="11" t="s">
        <v>37</v>
      </c>
      <c r="B3" s="11"/>
      <c r="C3" s="11" t="s">
        <v>38</v>
      </c>
      <c r="D3" s="11" t="s">
        <v>39</v>
      </c>
      <c r="E3" s="11"/>
      <c r="F3" s="11"/>
      <c r="G3" s="11"/>
    </row>
    <row r="4" customFormat="false" ht="15" hidden="false" customHeight="true" outlineLevel="0" collapsed="false">
      <c r="A4" s="7" t="s">
        <v>40</v>
      </c>
      <c r="C4" s="12" t="n">
        <v>4</v>
      </c>
      <c r="D4" s="13" t="s">
        <v>41</v>
      </c>
    </row>
    <row r="5" customFormat="false" ht="15" hidden="false" customHeight="true" outlineLevel="0" collapsed="false">
      <c r="A5" s="7" t="s">
        <v>42</v>
      </c>
      <c r="C5" s="14" t="n">
        <f aca="false">IFERROR(12/C4,"-")</f>
        <v>3</v>
      </c>
    </row>
    <row r="7" customFormat="false" ht="15" hidden="false" customHeight="true" outlineLevel="0" collapsed="false">
      <c r="A7" s="15" t="s">
        <v>43</v>
      </c>
      <c r="B7" s="15" t="s">
        <v>44</v>
      </c>
      <c r="C7" s="15" t="s">
        <v>45</v>
      </c>
      <c r="D7" s="15"/>
      <c r="E7" s="15" t="s">
        <v>46</v>
      </c>
      <c r="F7" s="15"/>
      <c r="G7" s="15"/>
    </row>
    <row r="8" customFormat="false" ht="15.75" hidden="false" customHeight="true" outlineLevel="0" collapsed="false">
      <c r="A8" s="16" t="s">
        <v>47</v>
      </c>
      <c r="B8" s="16"/>
      <c r="C8" s="16"/>
      <c r="D8" s="16"/>
      <c r="E8" s="16"/>
      <c r="F8" s="16"/>
      <c r="G8" s="16"/>
    </row>
    <row r="9" customFormat="false" ht="15" hidden="false" customHeight="true" outlineLevel="0" collapsed="false">
      <c r="A9" s="17" t="s">
        <v>48</v>
      </c>
      <c r="B9" s="18"/>
      <c r="C9" s="19" t="str">
        <f aca="false">IF(B9="","-",B9*C5)</f>
        <v>-</v>
      </c>
    </row>
    <row r="10" customFormat="false" ht="15" hidden="false" customHeight="true" outlineLevel="0" collapsed="false">
      <c r="A10" s="17" t="s">
        <v>49</v>
      </c>
      <c r="B10" s="18"/>
      <c r="C10" s="20" t="str">
        <f aca="false">IF(B10="","-",B10*C5)</f>
        <v>-</v>
      </c>
    </row>
    <row r="11" customFormat="false" ht="15" hidden="false" customHeight="true" outlineLevel="0" collapsed="false">
      <c r="A11" s="17" t="s">
        <v>50</v>
      </c>
      <c r="B11" s="18"/>
      <c r="C11" s="20" t="str">
        <f aca="false">IF(B11="","-",B11*C5)</f>
        <v>-</v>
      </c>
    </row>
    <row r="12" customFormat="false" ht="15" hidden="false" customHeight="true" outlineLevel="0" collapsed="false">
      <c r="A12" s="17" t="s">
        <v>51</v>
      </c>
      <c r="B12" s="18"/>
      <c r="C12" s="20" t="str">
        <f aca="false">IF(B12="","-",B12*C5)</f>
        <v>-</v>
      </c>
    </row>
    <row r="13" customFormat="false" ht="15" hidden="false" customHeight="true" outlineLevel="0" collapsed="false">
      <c r="A13" s="21" t="s">
        <v>52</v>
      </c>
      <c r="B13" s="21"/>
      <c r="C13" s="22" t="n">
        <f aca="false">SUM(C9:C12)</f>
        <v>0</v>
      </c>
    </row>
    <row r="15" customFormat="false" ht="15.75" hidden="false" customHeight="true" outlineLevel="0" collapsed="false">
      <c r="A15" s="16" t="s">
        <v>53</v>
      </c>
      <c r="B15" s="16"/>
      <c r="C15" s="16"/>
      <c r="D15" s="16"/>
      <c r="E15" s="16"/>
      <c r="F15" s="16"/>
      <c r="G15" s="16"/>
    </row>
    <row r="16" customFormat="false" ht="15" hidden="false" customHeight="true" outlineLevel="0" collapsed="false">
      <c r="A16" s="17" t="s">
        <v>54</v>
      </c>
      <c r="B16" s="18"/>
      <c r="C16" s="19" t="str">
        <f aca="false">IF(B16="","-",B16*C5)</f>
        <v>-</v>
      </c>
    </row>
    <row r="17" customFormat="false" ht="15" hidden="false" customHeight="true" outlineLevel="0" collapsed="false">
      <c r="A17" s="17" t="s">
        <v>55</v>
      </c>
      <c r="B17" s="18"/>
      <c r="C17" s="20" t="str">
        <f aca="false">IF(B17="","-",B17*C5)</f>
        <v>-</v>
      </c>
    </row>
    <row r="18" customFormat="false" ht="15" hidden="false" customHeight="true" outlineLevel="0" collapsed="false">
      <c r="A18" s="17" t="s">
        <v>56</v>
      </c>
      <c r="B18" s="18"/>
      <c r="C18" s="20" t="str">
        <f aca="false">IF(B18="","-",B18*C5)</f>
        <v>-</v>
      </c>
    </row>
    <row r="19" customFormat="false" ht="15" hidden="false" customHeight="true" outlineLevel="0" collapsed="false">
      <c r="A19" s="17" t="s">
        <v>57</v>
      </c>
      <c r="B19" s="18"/>
      <c r="C19" s="20" t="str">
        <f aca="false">IF(B19="","-",B19*C5)</f>
        <v>-</v>
      </c>
    </row>
    <row r="20" customFormat="false" ht="15" hidden="false" customHeight="true" outlineLevel="0" collapsed="false">
      <c r="A20" s="17" t="s">
        <v>58</v>
      </c>
      <c r="B20" s="18"/>
      <c r="C20" s="20" t="str">
        <f aca="false">IF(B20="","-",B20*C5)</f>
        <v>-</v>
      </c>
    </row>
    <row r="21" customFormat="false" ht="15" hidden="false" customHeight="true" outlineLevel="0" collapsed="false">
      <c r="A21" s="17" t="s">
        <v>59</v>
      </c>
      <c r="B21" s="18"/>
      <c r="C21" s="20" t="str">
        <f aca="false">IF(B21="","-",B21*C5)</f>
        <v>-</v>
      </c>
    </row>
    <row r="22" customFormat="false" ht="15" hidden="false" customHeight="true" outlineLevel="0" collapsed="false">
      <c r="A22" s="17" t="s">
        <v>60</v>
      </c>
      <c r="B22" s="18"/>
      <c r="C22" s="20" t="str">
        <f aca="false">IF(B22="","-",B22*C5)</f>
        <v>-</v>
      </c>
    </row>
    <row r="23" customFormat="false" ht="15" hidden="false" customHeight="true" outlineLevel="0" collapsed="false">
      <c r="A23" s="17" t="s">
        <v>61</v>
      </c>
      <c r="B23" s="18"/>
      <c r="C23" s="19" t="str">
        <f aca="false">IF(B23="","-",B23*C5)</f>
        <v>-</v>
      </c>
    </row>
    <row r="24" customFormat="false" ht="15" hidden="false" customHeight="true" outlineLevel="0" collapsed="false">
      <c r="A24" s="17" t="s">
        <v>62</v>
      </c>
      <c r="B24" s="18"/>
      <c r="C24" s="20" t="str">
        <f aca="false">IF(B24="","-",B24*C5)</f>
        <v>-</v>
      </c>
    </row>
    <row r="25" customFormat="false" ht="15" hidden="false" customHeight="true" outlineLevel="0" collapsed="false">
      <c r="A25" s="17" t="s">
        <v>63</v>
      </c>
      <c r="B25" s="18"/>
      <c r="C25" s="20" t="str">
        <f aca="false">IF(B25="","-",B25*C5)</f>
        <v>-</v>
      </c>
    </row>
    <row r="26" customFormat="false" ht="15" hidden="false" customHeight="true" outlineLevel="0" collapsed="false">
      <c r="A26" s="17" t="s">
        <v>64</v>
      </c>
      <c r="B26" s="18"/>
      <c r="C26" s="20" t="str">
        <f aca="false">IF(B26="","-",B26*C5)</f>
        <v>-</v>
      </c>
    </row>
    <row r="27" customFormat="false" ht="15" hidden="false" customHeight="true" outlineLevel="0" collapsed="false">
      <c r="A27" s="17" t="s">
        <v>65</v>
      </c>
      <c r="B27" s="18"/>
      <c r="C27" s="20" t="str">
        <f aca="false">IF(B27="","-",B27*C5)</f>
        <v>-</v>
      </c>
    </row>
    <row r="28" customFormat="false" ht="15" hidden="false" customHeight="true" outlineLevel="0" collapsed="false">
      <c r="A28" s="17" t="s">
        <v>66</v>
      </c>
      <c r="B28" s="18"/>
      <c r="C28" s="20" t="str">
        <f aca="false">IF(B28="","-",B28*C5)</f>
        <v>-</v>
      </c>
    </row>
    <row r="29" customFormat="false" ht="15" hidden="false" customHeight="true" outlineLevel="0" collapsed="false">
      <c r="A29" s="17" t="s">
        <v>67</v>
      </c>
      <c r="B29" s="18"/>
      <c r="C29" s="19" t="str">
        <f aca="false">IF(B29="","-",B29*C5)</f>
        <v>-</v>
      </c>
    </row>
    <row r="30" customFormat="false" ht="15" hidden="false" customHeight="true" outlineLevel="0" collapsed="false">
      <c r="A30" s="17" t="s">
        <v>68</v>
      </c>
      <c r="B30" s="18"/>
      <c r="C30" s="20" t="str">
        <f aca="false">IF(B30="","-",B30*C5)</f>
        <v>-</v>
      </c>
    </row>
    <row r="31" customFormat="false" ht="15" hidden="false" customHeight="true" outlineLevel="0" collapsed="false">
      <c r="A31" s="17" t="s">
        <v>69</v>
      </c>
      <c r="B31" s="18"/>
      <c r="C31" s="19" t="str">
        <f aca="false">IF(B31="","-",B31*C5)</f>
        <v>-</v>
      </c>
    </row>
    <row r="32" customFormat="false" ht="15" hidden="false" customHeight="true" outlineLevel="0" collapsed="false">
      <c r="A32" s="17" t="s">
        <v>70</v>
      </c>
      <c r="B32" s="18"/>
      <c r="C32" s="20" t="str">
        <f aca="false">IF(B32="","-",B32*C5)</f>
        <v>-</v>
      </c>
    </row>
    <row r="33" customFormat="false" ht="15" hidden="false" customHeight="true" outlineLevel="0" collapsed="false">
      <c r="A33" s="17" t="s">
        <v>71</v>
      </c>
      <c r="B33" s="18"/>
      <c r="C33" s="20" t="str">
        <f aca="false">IF(B33="","-",B33*C5)</f>
        <v>-</v>
      </c>
    </row>
    <row r="34" customFormat="false" ht="15" hidden="false" customHeight="true" outlineLevel="0" collapsed="false">
      <c r="A34" s="17" t="s">
        <v>72</v>
      </c>
      <c r="B34" s="18"/>
      <c r="C34" s="20" t="str">
        <f aca="false">IF(B34="","-",B34*C5)</f>
        <v>-</v>
      </c>
    </row>
    <row r="35" customFormat="false" ht="15" hidden="false" customHeight="true" outlineLevel="0" collapsed="false">
      <c r="A35" s="17" t="s">
        <v>73</v>
      </c>
      <c r="B35" s="18"/>
      <c r="C35" s="20" t="str">
        <f aca="false">IF(B35="","-",B35*C5)</f>
        <v>-</v>
      </c>
    </row>
    <row r="36" customFormat="false" ht="15" hidden="false" customHeight="true" outlineLevel="0" collapsed="false">
      <c r="A36" s="23" t="s">
        <v>74</v>
      </c>
      <c r="B36" s="23"/>
      <c r="C36" s="24" t="n">
        <f aca="false">SUM(C16:C35)</f>
        <v>0</v>
      </c>
    </row>
    <row r="37" customFormat="false" ht="15" hidden="false" customHeight="true" outlineLevel="0" collapsed="false">
      <c r="A37" s="25" t="s">
        <v>75</v>
      </c>
      <c r="B37" s="25"/>
      <c r="C37" s="26" t="n">
        <f aca="false">C13-C36</f>
        <v>0</v>
      </c>
    </row>
    <row r="39" customFormat="false" ht="24" hidden="false" customHeight="true" outlineLevel="0" collapsed="false">
      <c r="A39" s="10" t="s">
        <v>76</v>
      </c>
      <c r="B39" s="10"/>
      <c r="C39" s="10"/>
      <c r="D39" s="10"/>
      <c r="E39" s="10"/>
      <c r="F39" s="10"/>
      <c r="G39" s="10"/>
    </row>
  </sheetData>
  <mergeCells count="8">
    <mergeCell ref="A1:G1"/>
    <mergeCell ref="A2:G2"/>
    <mergeCell ref="A8:G8"/>
    <mergeCell ref="A13:B13"/>
    <mergeCell ref="A15:G15"/>
    <mergeCell ref="A36:B36"/>
    <mergeCell ref="A37:B37"/>
    <mergeCell ref="A39:G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20"/>
    <col collapsed="false" customWidth="true" hidden="false" outlineLevel="0" max="5" min="5" style="1" width="24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15.75" hidden="false" customHeight="true" outlineLevel="0" collapsed="false">
      <c r="A1" s="27" t="s">
        <v>77</v>
      </c>
      <c r="B1" s="27"/>
      <c r="C1" s="27"/>
      <c r="D1" s="27"/>
      <c r="E1" s="27"/>
      <c r="F1" s="27"/>
      <c r="G1" s="27"/>
    </row>
    <row r="2" customFormat="false" ht="24" hidden="false" customHeight="true" outlineLevel="0" collapsed="false">
      <c r="A2" s="10" t="s">
        <v>78</v>
      </c>
      <c r="B2" s="10"/>
      <c r="C2" s="10"/>
      <c r="D2" s="10"/>
      <c r="E2" s="10"/>
      <c r="F2" s="10"/>
      <c r="G2" s="10"/>
    </row>
    <row r="4" customFormat="false" ht="15" hidden="false" customHeight="true" outlineLevel="0" collapsed="false">
      <c r="A4" s="15" t="s">
        <v>79</v>
      </c>
      <c r="B4" s="15" t="s">
        <v>80</v>
      </c>
      <c r="C4" s="15" t="s">
        <v>81</v>
      </c>
      <c r="D4" s="15" t="s">
        <v>82</v>
      </c>
      <c r="E4" s="15" t="s">
        <v>83</v>
      </c>
      <c r="F4" s="15"/>
      <c r="G4" s="15"/>
    </row>
    <row r="5" customFormat="false" ht="15.75" hidden="false" customHeight="true" outlineLevel="0" collapsed="false">
      <c r="A5" s="28" t="s">
        <v>84</v>
      </c>
      <c r="B5" s="28"/>
      <c r="C5" s="28"/>
      <c r="D5" s="28"/>
      <c r="E5" s="28"/>
      <c r="F5" s="28"/>
      <c r="G5" s="28"/>
    </row>
    <row r="6" customFormat="false" ht="15" hidden="false" customHeight="true" outlineLevel="0" collapsed="false">
      <c r="A6" s="29" t="s">
        <v>85</v>
      </c>
      <c r="B6" s="30"/>
      <c r="C6" s="30"/>
      <c r="D6" s="20" t="n">
        <f aca="false">IFERROR(C6-B6, "-")</f>
        <v>0</v>
      </c>
      <c r="E6" s="31" t="s">
        <v>86</v>
      </c>
    </row>
    <row r="7" customFormat="false" ht="15" hidden="false" customHeight="true" outlineLevel="0" collapsed="false">
      <c r="A7" s="29" t="s">
        <v>87</v>
      </c>
      <c r="B7" s="30"/>
      <c r="C7" s="30"/>
      <c r="D7" s="20" t="n">
        <f aca="false">IFERROR(C7-B7, "-")</f>
        <v>0</v>
      </c>
    </row>
    <row r="8" customFormat="false" ht="15" hidden="false" customHeight="true" outlineLevel="0" collapsed="false">
      <c r="A8" s="29" t="s">
        <v>88</v>
      </c>
      <c r="B8" s="30"/>
      <c r="C8" s="30"/>
      <c r="D8" s="20" t="n">
        <f aca="false">IFERROR(C8-B8, "-")</f>
        <v>0</v>
      </c>
    </row>
    <row r="9" customFormat="false" ht="15" hidden="false" customHeight="true" outlineLevel="0" collapsed="false">
      <c r="A9" s="29" t="s">
        <v>89</v>
      </c>
      <c r="B9" s="30"/>
      <c r="C9" s="30"/>
      <c r="D9" s="20" t="n">
        <f aca="false">IFERROR(C9-B9, "-")</f>
        <v>0</v>
      </c>
      <c r="E9" s="31" t="s">
        <v>90</v>
      </c>
    </row>
    <row r="10" customFormat="false" ht="15" hidden="false" customHeight="true" outlineLevel="0" collapsed="false">
      <c r="A10" s="29" t="s">
        <v>91</v>
      </c>
      <c r="B10" s="30"/>
      <c r="C10" s="30"/>
      <c r="D10" s="20" t="n">
        <f aca="false">IFERROR(C10-B10, "-")</f>
        <v>0</v>
      </c>
      <c r="E10" s="31" t="s">
        <v>92</v>
      </c>
    </row>
    <row r="11" customFormat="false" ht="15" hidden="false" customHeight="true" outlineLevel="0" collapsed="false">
      <c r="A11" s="29" t="s">
        <v>93</v>
      </c>
      <c r="B11" s="30"/>
      <c r="C11" s="30"/>
      <c r="D11" s="20" t="n">
        <f aca="false">IFERROR(C11-B11, "-")</f>
        <v>0</v>
      </c>
      <c r="E11" s="31" t="s">
        <v>94</v>
      </c>
    </row>
    <row r="12" customFormat="false" ht="15" hidden="false" customHeight="true" outlineLevel="0" collapsed="false">
      <c r="A12" s="29" t="s">
        <v>95</v>
      </c>
      <c r="B12" s="30"/>
      <c r="C12" s="30"/>
      <c r="D12" s="20" t="n">
        <f aca="false">IFERROR(C12-B12, "-")</f>
        <v>0</v>
      </c>
      <c r="E12" s="31" t="s">
        <v>96</v>
      </c>
    </row>
    <row r="13" customFormat="false" ht="15" hidden="false" customHeight="true" outlineLevel="0" collapsed="false">
      <c r="A13" s="29" t="s">
        <v>97</v>
      </c>
      <c r="B13" s="30"/>
      <c r="C13" s="30"/>
      <c r="D13" s="20" t="n">
        <f aca="false">IFERROR(C13-B13, "-")</f>
        <v>0</v>
      </c>
      <c r="E13" s="31" t="s">
        <v>98</v>
      </c>
    </row>
    <row r="14" customFormat="false" ht="15" hidden="false" customHeight="true" outlineLevel="0" collapsed="false">
      <c r="A14" s="29" t="s">
        <v>99</v>
      </c>
      <c r="B14" s="30"/>
      <c r="C14" s="30"/>
      <c r="D14" s="20" t="n">
        <f aca="false">IFERROR(C14-B14, "-")</f>
        <v>0</v>
      </c>
    </row>
    <row r="16" customFormat="false" ht="15.75" hidden="false" customHeight="true" outlineLevel="0" collapsed="false">
      <c r="A16" s="28" t="s">
        <v>100</v>
      </c>
      <c r="B16" s="28"/>
      <c r="C16" s="28"/>
      <c r="D16" s="28"/>
      <c r="E16" s="28"/>
      <c r="F16" s="28"/>
      <c r="G16" s="28"/>
    </row>
    <row r="17" customFormat="false" ht="15" hidden="false" customHeight="true" outlineLevel="0" collapsed="false">
      <c r="A17" s="29" t="s">
        <v>101</v>
      </c>
      <c r="B17" s="30"/>
      <c r="C17" s="30"/>
      <c r="D17" s="20" t="n">
        <f aca="false">IFERROR(C17-B17, "-")</f>
        <v>0</v>
      </c>
    </row>
    <row r="18" customFormat="false" ht="15" hidden="false" customHeight="true" outlineLevel="0" collapsed="false">
      <c r="A18" s="29" t="s">
        <v>102</v>
      </c>
      <c r="B18" s="30"/>
      <c r="C18" s="30"/>
      <c r="D18" s="20" t="n">
        <f aca="false">IFERROR(C18-B18, "-")</f>
        <v>0</v>
      </c>
    </row>
    <row r="19" customFormat="false" ht="15" hidden="false" customHeight="true" outlineLevel="0" collapsed="false">
      <c r="A19" s="29" t="s">
        <v>103</v>
      </c>
      <c r="B19" s="30"/>
      <c r="C19" s="30"/>
      <c r="D19" s="20" t="n">
        <f aca="false">IFERROR(C19-B19, "-")</f>
        <v>0</v>
      </c>
    </row>
  </sheetData>
  <mergeCells count="4">
    <mergeCell ref="A1:G1"/>
    <mergeCell ref="A2:G2"/>
    <mergeCell ref="A5:G5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6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15.75" hidden="false" customHeight="true" outlineLevel="0" collapsed="false">
      <c r="A1" s="9" t="s">
        <v>104</v>
      </c>
      <c r="B1" s="9"/>
      <c r="C1" s="9"/>
      <c r="D1" s="9"/>
      <c r="E1" s="9"/>
      <c r="F1" s="9"/>
      <c r="G1" s="9"/>
    </row>
    <row r="2" customFormat="false" ht="24" hidden="false" customHeight="true" outlineLevel="0" collapsed="false">
      <c r="A2" s="10" t="s">
        <v>105</v>
      </c>
      <c r="B2" s="10"/>
      <c r="C2" s="10"/>
      <c r="D2" s="10"/>
      <c r="E2" s="10"/>
      <c r="F2" s="10"/>
      <c r="G2" s="10"/>
    </row>
    <row r="4" customFormat="false" ht="15" hidden="false" customHeight="true" outlineLevel="0" collapsed="false">
      <c r="A4" s="15" t="s">
        <v>106</v>
      </c>
      <c r="B4" s="15" t="s">
        <v>107</v>
      </c>
      <c r="C4" s="15" t="s">
        <v>108</v>
      </c>
      <c r="D4" s="15"/>
      <c r="E4" s="15" t="s">
        <v>109</v>
      </c>
      <c r="F4" s="15"/>
      <c r="G4" s="15"/>
    </row>
    <row r="5" customFormat="false" ht="15" hidden="false" customHeight="true" outlineLevel="0" collapsed="false">
      <c r="A5" s="8" t="s">
        <v>110</v>
      </c>
      <c r="B5" s="32" t="n">
        <f aca="false">'P&amp;L INPUT'!C37</f>
        <v>0</v>
      </c>
      <c r="C5" s="32" t="n">
        <f aca="false">B5</f>
        <v>0</v>
      </c>
    </row>
    <row r="7" customFormat="false" ht="15.75" hidden="false" customHeight="true" outlineLevel="0" collapsed="false">
      <c r="A7" s="33" t="s">
        <v>111</v>
      </c>
      <c r="B7" s="33"/>
      <c r="C7" s="33"/>
      <c r="D7" s="33"/>
      <c r="E7" s="33"/>
      <c r="F7" s="33"/>
      <c r="G7" s="33"/>
    </row>
    <row r="8" customFormat="false" ht="15" hidden="false" customHeight="true" outlineLevel="0" collapsed="false">
      <c r="A8" s="17" t="s">
        <v>112</v>
      </c>
      <c r="B8" s="34"/>
      <c r="C8" s="19" t="n">
        <f aca="false">C7+B8</f>
        <v>0</v>
      </c>
    </row>
    <row r="9" customFormat="false" ht="15" hidden="false" customHeight="true" outlineLevel="0" collapsed="false">
      <c r="A9" s="17" t="s">
        <v>113</v>
      </c>
      <c r="B9" s="18"/>
      <c r="C9" s="19" t="n">
        <f aca="false">C8+B9</f>
        <v>0</v>
      </c>
    </row>
    <row r="10" customFormat="false" ht="15" hidden="false" customHeight="true" outlineLevel="0" collapsed="false">
      <c r="A10" s="17" t="s">
        <v>114</v>
      </c>
      <c r="B10" s="18"/>
      <c r="C10" s="19" t="n">
        <f aca="false">C9+B10</f>
        <v>0</v>
      </c>
    </row>
    <row r="11" customFormat="false" ht="15" hidden="false" customHeight="true" outlineLevel="0" collapsed="false">
      <c r="A11" s="17" t="s">
        <v>115</v>
      </c>
      <c r="B11" s="18"/>
      <c r="C11" s="19" t="n">
        <f aca="false">C10+B11</f>
        <v>0</v>
      </c>
    </row>
    <row r="12" customFormat="false" ht="15" hidden="false" customHeight="true" outlineLevel="0" collapsed="false">
      <c r="A12" s="17" t="s">
        <v>116</v>
      </c>
      <c r="B12" s="18"/>
      <c r="C12" s="19" t="n">
        <f aca="false">C11+B12</f>
        <v>0</v>
      </c>
    </row>
    <row r="13" customFormat="false" ht="15" hidden="false" customHeight="true" outlineLevel="0" collapsed="false">
      <c r="A13" s="17" t="s">
        <v>117</v>
      </c>
      <c r="B13" s="18"/>
      <c r="C13" s="19" t="n">
        <f aca="false">C12+B13</f>
        <v>0</v>
      </c>
    </row>
    <row r="14" customFormat="false" ht="15" hidden="false" customHeight="true" outlineLevel="0" collapsed="false">
      <c r="A14" s="17" t="s">
        <v>118</v>
      </c>
      <c r="B14" s="18"/>
      <c r="C14" s="19" t="n">
        <f aca="false">C13+B14</f>
        <v>0</v>
      </c>
    </row>
    <row r="16" customFormat="false" ht="15.75" hidden="false" customHeight="true" outlineLevel="0" collapsed="false">
      <c r="A16" s="35" t="s">
        <v>119</v>
      </c>
      <c r="B16" s="35"/>
      <c r="C16" s="35"/>
      <c r="D16" s="35"/>
      <c r="E16" s="35"/>
      <c r="F16" s="35"/>
      <c r="G16" s="35"/>
    </row>
    <row r="17" customFormat="false" ht="15" hidden="false" customHeight="true" outlineLevel="0" collapsed="false">
      <c r="A17" s="17" t="s">
        <v>120</v>
      </c>
      <c r="B17" s="18"/>
      <c r="C17" s="19" t="n">
        <f aca="false">C16+B17</f>
        <v>0</v>
      </c>
    </row>
    <row r="18" customFormat="false" ht="15" hidden="false" customHeight="true" outlineLevel="0" collapsed="false">
      <c r="A18" s="17" t="s">
        <v>121</v>
      </c>
      <c r="B18" s="18"/>
      <c r="C18" s="19" t="n">
        <f aca="false">C17+B18</f>
        <v>0</v>
      </c>
    </row>
    <row r="19" customFormat="false" ht="15" hidden="false" customHeight="true" outlineLevel="0" collapsed="false">
      <c r="A19" s="17" t="s">
        <v>122</v>
      </c>
      <c r="B19" s="18"/>
      <c r="C19" s="19" t="n">
        <f aca="false">C18+B19</f>
        <v>0</v>
      </c>
    </row>
    <row r="20" customFormat="false" ht="15" hidden="false" customHeight="true" outlineLevel="0" collapsed="false">
      <c r="A20" s="17" t="s">
        <v>123</v>
      </c>
      <c r="B20" s="18"/>
      <c r="C20" s="19" t="n">
        <f aca="false">C19+B20</f>
        <v>0</v>
      </c>
    </row>
    <row r="21" customFormat="false" ht="15" hidden="false" customHeight="true" outlineLevel="0" collapsed="false">
      <c r="A21" s="17" t="s">
        <v>124</v>
      </c>
      <c r="B21" s="18"/>
      <c r="C21" s="20" t="n">
        <f aca="false">C20+B21</f>
        <v>0</v>
      </c>
    </row>
    <row r="23" customFormat="false" ht="15.75" hidden="false" customHeight="true" outlineLevel="0" collapsed="false">
      <c r="A23" s="36" t="s">
        <v>125</v>
      </c>
      <c r="B23" s="36"/>
      <c r="C23" s="36"/>
      <c r="D23" s="36"/>
      <c r="E23" s="36"/>
      <c r="F23" s="36"/>
      <c r="G23" s="36"/>
    </row>
    <row r="24" customFormat="false" ht="15" hidden="false" customHeight="true" outlineLevel="0" collapsed="false">
      <c r="A24" s="17" t="s">
        <v>126</v>
      </c>
      <c r="B24" s="18"/>
      <c r="C24" s="19" t="n">
        <f aca="false">C23+B24</f>
        <v>0</v>
      </c>
    </row>
    <row r="25" customFormat="false" ht="15" hidden="false" customHeight="true" outlineLevel="0" collapsed="false">
      <c r="A25" s="17" t="s">
        <v>127</v>
      </c>
      <c r="B25" s="18"/>
      <c r="C25" s="19" t="n">
        <f aca="false">C24+B25</f>
        <v>0</v>
      </c>
    </row>
    <row r="26" customFormat="false" ht="15" hidden="false" customHeight="true" outlineLevel="0" collapsed="false">
      <c r="A26" s="17" t="s">
        <v>128</v>
      </c>
      <c r="B26" s="18"/>
      <c r="C26" s="19" t="n">
        <f aca="false">C25+B26</f>
        <v>0</v>
      </c>
    </row>
    <row r="28" customFormat="false" ht="15.75" hidden="false" customHeight="true" outlineLevel="0" collapsed="false">
      <c r="A28" s="36" t="s">
        <v>129</v>
      </c>
      <c r="B28" s="36"/>
      <c r="C28" s="36"/>
      <c r="D28" s="36"/>
      <c r="E28" s="36"/>
      <c r="F28" s="36"/>
      <c r="G28" s="36"/>
    </row>
    <row r="29" customFormat="false" ht="24" hidden="false" customHeight="true" outlineLevel="0" collapsed="false">
      <c r="A29" s="10" t="s">
        <v>130</v>
      </c>
      <c r="B29" s="10"/>
      <c r="C29" s="10"/>
      <c r="D29" s="10"/>
      <c r="E29" s="10"/>
      <c r="F29" s="10"/>
      <c r="G29" s="10"/>
    </row>
    <row r="30" customFormat="false" ht="15" hidden="false" customHeight="true" outlineLevel="0" collapsed="false">
      <c r="A30" s="17" t="s">
        <v>131</v>
      </c>
      <c r="B30" s="18"/>
      <c r="C30" s="19" t="n">
        <f aca="false">C29+B30</f>
        <v>0</v>
      </c>
    </row>
    <row r="32" customFormat="false" ht="18" hidden="false" customHeight="true" outlineLevel="0" collapsed="false">
      <c r="A32" s="37" t="s">
        <v>132</v>
      </c>
      <c r="B32" s="37"/>
      <c r="C32" s="38" t="n">
        <f aca="false">C31</f>
        <v>0</v>
      </c>
    </row>
    <row r="33" customFormat="false" ht="24" hidden="false" customHeight="true" outlineLevel="0" collapsed="false">
      <c r="A33" s="10" t="s">
        <v>133</v>
      </c>
      <c r="B33" s="10"/>
      <c r="C33" s="10"/>
      <c r="D33" s="10"/>
      <c r="E33" s="10"/>
      <c r="F33" s="10"/>
      <c r="G33" s="10"/>
    </row>
  </sheetData>
  <mergeCells count="9">
    <mergeCell ref="A1:G1"/>
    <mergeCell ref="A2:G2"/>
    <mergeCell ref="A7:G7"/>
    <mergeCell ref="A16:G16"/>
    <mergeCell ref="A23:G23"/>
    <mergeCell ref="A28:G28"/>
    <mergeCell ref="A29:G29"/>
    <mergeCell ref="A32:B32"/>
    <mergeCell ref="A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8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15.75" hidden="false" customHeight="true" outlineLevel="0" collapsed="false">
      <c r="A1" s="9" t="s">
        <v>134</v>
      </c>
      <c r="B1" s="9"/>
      <c r="C1" s="9"/>
      <c r="D1" s="9"/>
      <c r="E1" s="9"/>
      <c r="F1" s="9"/>
      <c r="G1" s="9"/>
    </row>
    <row r="2" customFormat="false" ht="24" hidden="false" customHeight="true" outlineLevel="0" collapsed="false">
      <c r="A2" s="10" t="s">
        <v>135</v>
      </c>
      <c r="B2" s="10"/>
      <c r="C2" s="10"/>
      <c r="D2" s="10"/>
      <c r="E2" s="10"/>
      <c r="F2" s="10"/>
      <c r="G2" s="10"/>
    </row>
    <row r="4" customFormat="false" ht="15" hidden="false" customHeight="true" outlineLevel="0" collapsed="false">
      <c r="A4" s="15" t="s">
        <v>136</v>
      </c>
      <c r="B4" s="15" t="s">
        <v>107</v>
      </c>
      <c r="C4" s="15"/>
      <c r="D4" s="15"/>
      <c r="E4" s="15" t="s">
        <v>137</v>
      </c>
      <c r="F4" s="15"/>
      <c r="G4" s="15"/>
    </row>
    <row r="5" customFormat="false" ht="15" hidden="false" customHeight="true" outlineLevel="0" collapsed="false">
      <c r="A5" s="7" t="s">
        <v>138</v>
      </c>
      <c r="B5" s="32" t="n">
        <f aca="false">'BOOK-TO-TAX'!C32</f>
        <v>0</v>
      </c>
    </row>
    <row r="7" customFormat="false" ht="15.75" hidden="false" customHeight="true" outlineLevel="0" collapsed="false">
      <c r="A7" s="28" t="s">
        <v>139</v>
      </c>
      <c r="B7" s="28"/>
      <c r="C7" s="28"/>
      <c r="D7" s="28"/>
      <c r="E7" s="28"/>
      <c r="F7" s="28"/>
      <c r="G7" s="28"/>
    </row>
    <row r="8" customFormat="false" ht="24" hidden="false" customHeight="true" outlineLevel="0" collapsed="false">
      <c r="A8" s="10" t="s">
        <v>140</v>
      </c>
      <c r="B8" s="10"/>
      <c r="C8" s="10"/>
      <c r="D8" s="10"/>
      <c r="E8" s="10"/>
      <c r="F8" s="10"/>
      <c r="G8" s="10"/>
    </row>
    <row r="9" customFormat="false" ht="15" hidden="false" customHeight="true" outlineLevel="0" collapsed="false">
      <c r="A9" s="7" t="s">
        <v>141</v>
      </c>
      <c r="B9" s="32" t="n">
        <f aca="false">'BOOK-TO-TAX'!C32</f>
        <v>0</v>
      </c>
    </row>
    <row r="10" customFormat="false" ht="15" hidden="false" customHeight="true" outlineLevel="0" collapsed="false">
      <c r="A10" s="17" t="s">
        <v>142</v>
      </c>
      <c r="B10" s="39"/>
      <c r="C10" s="40" t="s">
        <v>143</v>
      </c>
    </row>
    <row r="11" customFormat="false" ht="15" hidden="false" customHeight="true" outlineLevel="0" collapsed="false">
      <c r="A11" s="7" t="s">
        <v>144</v>
      </c>
      <c r="B11" s="20" t="n">
        <f aca="false">B9*B10</f>
        <v>0</v>
      </c>
    </row>
    <row r="12" customFormat="false" ht="15" hidden="false" customHeight="true" outlineLevel="0" collapsed="false">
      <c r="A12" s="17" t="s">
        <v>145</v>
      </c>
      <c r="B12" s="39"/>
      <c r="C12" s="40" t="s">
        <v>146</v>
      </c>
    </row>
    <row r="13" customFormat="false" ht="15" hidden="false" customHeight="true" outlineLevel="0" collapsed="false">
      <c r="A13" s="7" t="s">
        <v>147</v>
      </c>
      <c r="B13" s="20" t="n">
        <f aca="false">B9*B12</f>
        <v>0</v>
      </c>
    </row>
    <row r="15" customFormat="false" ht="24" hidden="false" customHeight="true" outlineLevel="0" collapsed="false">
      <c r="A15" s="10" t="s">
        <v>148</v>
      </c>
      <c r="B15" s="10"/>
      <c r="C15" s="10"/>
      <c r="D15" s="10"/>
      <c r="E15" s="10"/>
      <c r="F15" s="10"/>
      <c r="G15" s="10"/>
    </row>
    <row r="16" customFormat="false" ht="15" hidden="false" customHeight="true" outlineLevel="0" collapsed="false">
      <c r="A16" s="8" t="s">
        <v>149</v>
      </c>
      <c r="B16" s="30"/>
    </row>
    <row r="19" customFormat="false" ht="15.75" hidden="false" customHeight="true" outlineLevel="0" collapsed="false">
      <c r="A19" s="36" t="s">
        <v>150</v>
      </c>
      <c r="B19" s="36"/>
      <c r="C19" s="36"/>
      <c r="D19" s="36"/>
      <c r="E19" s="36"/>
      <c r="F19" s="36"/>
      <c r="G19" s="36"/>
    </row>
    <row r="20" customFormat="false" ht="24" hidden="false" customHeight="true" outlineLevel="0" collapsed="false">
      <c r="A20" s="10" t="s">
        <v>151</v>
      </c>
      <c r="B20" s="10"/>
      <c r="C20" s="10"/>
      <c r="D20" s="10"/>
      <c r="E20" s="10"/>
      <c r="F20" s="10"/>
      <c r="G20" s="10"/>
    </row>
    <row r="21" customFormat="false" ht="15" hidden="false" customHeight="true" outlineLevel="0" collapsed="false">
      <c r="A21" s="7" t="s">
        <v>152</v>
      </c>
      <c r="B21" s="41" t="s">
        <v>153</v>
      </c>
    </row>
    <row r="22" customFormat="false" ht="15" hidden="false" customHeight="true" outlineLevel="0" collapsed="false">
      <c r="A22" s="7" t="s">
        <v>154</v>
      </c>
      <c r="B22" s="42" t="n">
        <v>0.0685</v>
      </c>
    </row>
    <row r="23" customFormat="false" ht="15" hidden="false" customHeight="true" outlineLevel="0" collapsed="false">
      <c r="A23" s="17" t="s">
        <v>155</v>
      </c>
      <c r="B23" s="18"/>
      <c r="C23" s="40" t="s">
        <v>156</v>
      </c>
    </row>
    <row r="24" customFormat="false" ht="15" hidden="false" customHeight="true" outlineLevel="0" collapsed="false">
      <c r="A24" s="17" t="s">
        <v>157</v>
      </c>
      <c r="B24" s="18"/>
      <c r="C24" s="40" t="s">
        <v>158</v>
      </c>
    </row>
    <row r="25" customFormat="false" ht="15" hidden="false" customHeight="true" outlineLevel="0" collapsed="false">
      <c r="A25" s="7" t="s">
        <v>159</v>
      </c>
      <c r="B25" s="20" t="n">
        <f aca="false">B5+B23+B24</f>
        <v>0</v>
      </c>
    </row>
    <row r="26" customFormat="false" ht="15" hidden="false" customHeight="true" outlineLevel="0" collapsed="false">
      <c r="A26" s="7" t="s">
        <v>160</v>
      </c>
      <c r="B26" s="20" t="n">
        <f aca="false">IF(B25&gt;0,B25*B22,0)</f>
        <v>0</v>
      </c>
    </row>
    <row r="27" customFormat="false" ht="15" hidden="false" customHeight="true" outlineLevel="0" collapsed="false">
      <c r="A27" s="17" t="s">
        <v>161</v>
      </c>
      <c r="B27" s="18"/>
    </row>
    <row r="28" customFormat="false" ht="15" hidden="false" customHeight="true" outlineLevel="0" collapsed="false">
      <c r="A28" s="17" t="s">
        <v>162</v>
      </c>
      <c r="B28" s="18"/>
      <c r="C28" s="40" t="s">
        <v>163</v>
      </c>
    </row>
    <row r="29" customFormat="false" ht="15" hidden="false" customHeight="true" outlineLevel="0" collapsed="false">
      <c r="A29" s="25" t="s">
        <v>164</v>
      </c>
      <c r="B29" s="25"/>
      <c r="C29" s="26" t="n">
        <f aca="false">B26+B27+B28</f>
        <v>0</v>
      </c>
    </row>
    <row r="31" customFormat="false" ht="24" hidden="false" customHeight="true" outlineLevel="0" collapsed="false">
      <c r="A31" s="10" t="s">
        <v>165</v>
      </c>
      <c r="B31" s="10"/>
      <c r="C31" s="10"/>
      <c r="D31" s="10"/>
      <c r="E31" s="10"/>
      <c r="F31" s="10"/>
      <c r="G31" s="10"/>
    </row>
  </sheetData>
  <mergeCells count="9">
    <mergeCell ref="A1:G1"/>
    <mergeCell ref="A2:G2"/>
    <mergeCell ref="A7:G7"/>
    <mergeCell ref="A8:G8"/>
    <mergeCell ref="A15:G15"/>
    <mergeCell ref="A19:G19"/>
    <mergeCell ref="A20:G20"/>
    <mergeCell ref="A29:B29"/>
    <mergeCell ref="A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8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15.75" hidden="false" customHeight="true" outlineLevel="0" collapsed="false">
      <c r="A1" s="9" t="s">
        <v>166</v>
      </c>
      <c r="B1" s="9"/>
      <c r="C1" s="9"/>
      <c r="D1" s="9"/>
      <c r="E1" s="9"/>
      <c r="F1" s="9"/>
      <c r="G1" s="9"/>
    </row>
    <row r="2" customFormat="false" ht="24" hidden="false" customHeight="true" outlineLevel="0" collapsed="false">
      <c r="A2" s="10" t="s">
        <v>167</v>
      </c>
      <c r="B2" s="10"/>
      <c r="C2" s="10"/>
      <c r="D2" s="10"/>
      <c r="E2" s="10"/>
      <c r="F2" s="10"/>
      <c r="G2" s="10"/>
    </row>
    <row r="4" customFormat="false" ht="15" hidden="false" customHeight="true" outlineLevel="0" collapsed="false">
      <c r="A4" s="15" t="s">
        <v>168</v>
      </c>
      <c r="B4" s="15" t="s">
        <v>169</v>
      </c>
      <c r="C4" s="15" t="s">
        <v>152</v>
      </c>
      <c r="D4" s="15"/>
      <c r="E4" s="15" t="s">
        <v>170</v>
      </c>
      <c r="F4" s="15"/>
      <c r="G4" s="15"/>
    </row>
    <row r="5" customFormat="false" ht="15" hidden="false" customHeight="true" outlineLevel="0" collapsed="false">
      <c r="A5" s="17" t="s">
        <v>171</v>
      </c>
      <c r="B5" s="18"/>
      <c r="C5" s="43" t="s">
        <v>172</v>
      </c>
    </row>
    <row r="6" customFormat="false" ht="15" hidden="false" customHeight="true" outlineLevel="0" collapsed="false">
      <c r="A6" s="7" t="s">
        <v>173</v>
      </c>
      <c r="B6" s="30"/>
      <c r="E6" s="31" t="s">
        <v>174</v>
      </c>
    </row>
    <row r="8" customFormat="false" ht="15" hidden="false" customHeight="true" outlineLevel="0" collapsed="false">
      <c r="A8" s="44" t="s">
        <v>175</v>
      </c>
      <c r="B8" s="44" t="s">
        <v>169</v>
      </c>
      <c r="C8" s="44" t="s">
        <v>152</v>
      </c>
      <c r="D8" s="44"/>
      <c r="E8" s="44"/>
      <c r="F8" s="44"/>
      <c r="G8" s="44"/>
    </row>
    <row r="9" customFormat="false" ht="15" hidden="false" customHeight="true" outlineLevel="0" collapsed="false">
      <c r="A9" s="7" t="s">
        <v>176</v>
      </c>
      <c r="B9" s="32" t="n">
        <f aca="false">'TAX CALC'!B16</f>
        <v>0</v>
      </c>
      <c r="C9" s="32" t="n">
        <f aca="false">'TAX CALC'!B29</f>
        <v>0</v>
      </c>
    </row>
    <row r="10" customFormat="false" ht="15" hidden="false" customHeight="true" outlineLevel="0" collapsed="false">
      <c r="A10" s="7" t="s">
        <v>177</v>
      </c>
      <c r="B10" s="20" t="n">
        <f aca="false">B9*0.9</f>
        <v>0</v>
      </c>
      <c r="C10" s="20" t="n">
        <f aca="false">C9*0.9</f>
        <v>0</v>
      </c>
    </row>
    <row r="11" customFormat="false" ht="15" hidden="false" customHeight="true" outlineLevel="0" collapsed="false">
      <c r="A11" s="7" t="s">
        <v>178</v>
      </c>
      <c r="B11" s="20" t="n">
        <f aca="false">IF(B6&gt;150000,B5*1.1,B5*1)</f>
        <v>0</v>
      </c>
      <c r="C11" s="20" t="str">
        <f aca="false">C5</f>
        <v>From 1040 Line 24 / 1120 Line 31 / 1120-S Sch K</v>
      </c>
    </row>
    <row r="12" customFormat="false" ht="15" hidden="false" customHeight="true" outlineLevel="0" collapsed="false">
      <c r="A12" s="45" t="s">
        <v>179</v>
      </c>
      <c r="B12" s="46" t="n">
        <f aca="false">IF(B11=0,B10,MIN(B10,B11))</f>
        <v>0</v>
      </c>
      <c r="C12" s="46" t="n">
        <f aca="false">IF(C11=0,C10,MIN(C10,C11))</f>
        <v>0</v>
      </c>
    </row>
    <row r="14" customFormat="false" ht="15" hidden="false" customHeight="true" outlineLevel="0" collapsed="false">
      <c r="A14" s="15" t="s">
        <v>180</v>
      </c>
      <c r="B14" s="15" t="s">
        <v>169</v>
      </c>
      <c r="C14" s="15" t="s">
        <v>152</v>
      </c>
      <c r="D14" s="15"/>
      <c r="E14" s="15"/>
      <c r="F14" s="15"/>
      <c r="G14" s="15"/>
    </row>
    <row r="15" customFormat="false" ht="15" hidden="false" customHeight="true" outlineLevel="0" collapsed="false">
      <c r="A15" s="29" t="s">
        <v>181</v>
      </c>
      <c r="B15" s="30"/>
      <c r="C15" s="30"/>
    </row>
    <row r="16" customFormat="false" ht="15" hidden="false" customHeight="true" outlineLevel="0" collapsed="false">
      <c r="A16" s="29" t="s">
        <v>182</v>
      </c>
      <c r="B16" s="30"/>
      <c r="C16" s="30"/>
    </row>
    <row r="17" customFormat="false" ht="15" hidden="false" customHeight="true" outlineLevel="0" collapsed="false">
      <c r="A17" s="29" t="s">
        <v>183</v>
      </c>
      <c r="B17" s="30"/>
      <c r="C17" s="30"/>
    </row>
    <row r="18" customFormat="false" ht="15" hidden="false" customHeight="true" outlineLevel="0" collapsed="false">
      <c r="A18" s="29" t="s">
        <v>184</v>
      </c>
      <c r="B18" s="30"/>
      <c r="C18" s="30"/>
    </row>
    <row r="19" customFormat="false" ht="15" hidden="false" customHeight="true" outlineLevel="0" collapsed="false">
      <c r="A19" s="29" t="s">
        <v>185</v>
      </c>
      <c r="B19" s="30"/>
      <c r="C19" s="30"/>
    </row>
    <row r="20" customFormat="false" ht="15" hidden="false" customHeight="true" outlineLevel="0" collapsed="false">
      <c r="A20" s="29" t="s">
        <v>186</v>
      </c>
      <c r="B20" s="30"/>
      <c r="C20" s="30"/>
      <c r="E20" s="31" t="s">
        <v>187</v>
      </c>
    </row>
    <row r="21" customFormat="false" ht="15" hidden="false" customHeight="true" outlineLevel="0" collapsed="false">
      <c r="A21" s="29" t="s">
        <v>188</v>
      </c>
      <c r="B21" s="30"/>
      <c r="C21" s="30"/>
      <c r="E21" s="31" t="s">
        <v>189</v>
      </c>
    </row>
    <row r="22" customFormat="false" ht="15" hidden="false" customHeight="true" outlineLevel="0" collapsed="false">
      <c r="A22" s="47" t="s">
        <v>190</v>
      </c>
      <c r="B22" s="48" t="n">
        <f aca="false">SUM(B15:B21)</f>
        <v>0</v>
      </c>
      <c r="C22" s="48" t="n">
        <f aca="false">SUM(C15:C21)</f>
        <v>0</v>
      </c>
    </row>
    <row r="24" customFormat="false" ht="15" hidden="false" customHeight="true" outlineLevel="0" collapsed="false">
      <c r="A24" s="15" t="s">
        <v>191</v>
      </c>
      <c r="B24" s="15" t="s">
        <v>169</v>
      </c>
      <c r="C24" s="15" t="s">
        <v>152</v>
      </c>
      <c r="D24" s="15"/>
      <c r="E24" s="15" t="s">
        <v>192</v>
      </c>
      <c r="F24" s="15"/>
      <c r="G24" s="15"/>
    </row>
    <row r="25" customFormat="false" ht="15" hidden="false" customHeight="true" outlineLevel="0" collapsed="false">
      <c r="A25" s="29" t="s">
        <v>193</v>
      </c>
      <c r="B25" s="20" t="n">
        <f aca="false">MAX(0,B12*0.25-B22)</f>
        <v>0</v>
      </c>
      <c r="C25" s="20" t="n">
        <f aca="false">MAX(0,C12*0.25-C22)</f>
        <v>0</v>
      </c>
      <c r="E25" s="49" t="s">
        <v>194</v>
      </c>
    </row>
    <row r="26" customFormat="false" ht="15" hidden="false" customHeight="true" outlineLevel="0" collapsed="false">
      <c r="A26" s="29" t="s">
        <v>195</v>
      </c>
      <c r="B26" s="20" t="n">
        <f aca="false">MAX(0,B12*0.5-B22)</f>
        <v>0</v>
      </c>
      <c r="C26" s="20" t="n">
        <f aca="false">MAX(0,C12*0.5-C22)</f>
        <v>0</v>
      </c>
      <c r="E26" s="49" t="s">
        <v>196</v>
      </c>
    </row>
    <row r="27" customFormat="false" ht="15" hidden="false" customHeight="true" outlineLevel="0" collapsed="false">
      <c r="A27" s="29" t="s">
        <v>197</v>
      </c>
      <c r="B27" s="20" t="n">
        <f aca="false">MAX(0,B12*0.75-B22)</f>
        <v>0</v>
      </c>
      <c r="C27" s="20" t="n">
        <f aca="false">MAX(0,C12*0.75-C22)</f>
        <v>0</v>
      </c>
      <c r="E27" s="49" t="s">
        <v>198</v>
      </c>
    </row>
    <row r="28" customFormat="false" ht="15" hidden="false" customHeight="true" outlineLevel="0" collapsed="false">
      <c r="A28" s="29" t="s">
        <v>199</v>
      </c>
      <c r="B28" s="20" t="n">
        <f aca="false">MAX(0,B12*1-B22)</f>
        <v>0</v>
      </c>
      <c r="C28" s="20" t="n">
        <f aca="false">MAX(0,C12*1-C22)</f>
        <v>0</v>
      </c>
      <c r="E28" s="49" t="s">
        <v>200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20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15.75" hidden="false" customHeight="true" outlineLevel="0" collapsed="false">
      <c r="A1" s="50" t="s">
        <v>201</v>
      </c>
      <c r="B1" s="50"/>
      <c r="C1" s="50"/>
      <c r="D1" s="50"/>
      <c r="E1" s="50"/>
      <c r="F1" s="50"/>
      <c r="G1" s="50"/>
    </row>
    <row r="3" customFormat="false" ht="15" hidden="false" customHeight="true" outlineLevel="0" collapsed="false">
      <c r="A3" s="51" t="s">
        <v>202</v>
      </c>
      <c r="B3" s="51"/>
      <c r="C3" s="51"/>
      <c r="D3" s="51"/>
      <c r="E3" s="51"/>
      <c r="F3" s="51"/>
      <c r="G3" s="51"/>
    </row>
    <row r="5" customFormat="false" ht="15" hidden="false" customHeight="true" outlineLevel="0" collapsed="false">
      <c r="A5" s="15" t="s">
        <v>79</v>
      </c>
      <c r="B5" s="15" t="s">
        <v>169</v>
      </c>
      <c r="C5" s="15" t="s">
        <v>152</v>
      </c>
      <c r="D5" s="15" t="s">
        <v>203</v>
      </c>
      <c r="E5" s="15" t="s">
        <v>204</v>
      </c>
      <c r="F5" s="15" t="s">
        <v>205</v>
      </c>
      <c r="G5" s="15"/>
    </row>
    <row r="6" customFormat="false" ht="24" hidden="false" customHeight="true" outlineLevel="0" collapsed="false">
      <c r="A6" s="10" t="s">
        <v>206</v>
      </c>
      <c r="B6" s="10"/>
      <c r="C6" s="10"/>
      <c r="D6" s="10"/>
      <c r="E6" s="10"/>
      <c r="F6" s="10"/>
      <c r="G6" s="10"/>
    </row>
    <row r="8" customFormat="false" ht="15" hidden="false" customHeight="true" outlineLevel="0" collapsed="false">
      <c r="A8" s="29" t="s">
        <v>207</v>
      </c>
      <c r="B8" s="52"/>
      <c r="C8" s="52"/>
      <c r="E8" s="31" t="s">
        <v>208</v>
      </c>
    </row>
    <row r="9" customFormat="false" ht="15" hidden="false" customHeight="true" outlineLevel="0" collapsed="false">
      <c r="A9" s="29" t="s">
        <v>209</v>
      </c>
      <c r="B9" s="52"/>
      <c r="C9" s="52"/>
    </row>
    <row r="11" customFormat="false" ht="24" hidden="false" customHeight="true" outlineLevel="0" collapsed="false">
      <c r="A11" s="10" t="s">
        <v>210</v>
      </c>
      <c r="B11" s="10"/>
      <c r="C11" s="10"/>
      <c r="D11" s="10"/>
      <c r="E11" s="10"/>
      <c r="F11" s="10"/>
      <c r="G11" s="10"/>
    </row>
    <row r="12" customFormat="false" ht="24" hidden="false" customHeight="true" outlineLevel="0" collapsed="false">
      <c r="A12" s="10" t="s">
        <v>211</v>
      </c>
      <c r="B12" s="10"/>
      <c r="C12" s="10"/>
      <c r="D12" s="10"/>
      <c r="E12" s="10"/>
      <c r="F12" s="10"/>
      <c r="G12" s="10"/>
    </row>
  </sheetData>
  <mergeCells count="5">
    <mergeCell ref="A1:G1"/>
    <mergeCell ref="A3:G3"/>
    <mergeCell ref="A6:G6"/>
    <mergeCell ref="A11:G11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2026-06-02T16:20:05Z</dcterms:created>
  <dc:creator>openpyxl</dc:creator>
  <dc:description/>
  <dc:language>en-US</dc:language>
  <cp:lastModifiedBy/>
  <dcterms:modified xsi:type="dcterms:W3CDTF">2026-06-02T16:22:03Z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